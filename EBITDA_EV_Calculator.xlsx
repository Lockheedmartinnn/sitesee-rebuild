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&amp; EV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b val="1"/>
      <color rgb="00FFFFFF"/>
      <sz val="14"/>
    </font>
    <font>
      <name val="Calibri"/>
      <color rgb="00000000"/>
      <sz val="11"/>
    </font>
    <font>
      <name val="Calibri"/>
      <b val="1"/>
      <color rgb="001F4E78"/>
      <sz val="12"/>
    </font>
    <font>
      <name val="Calibri"/>
      <b val="1"/>
      <color rgb="00000000"/>
      <sz val="11"/>
    </font>
    <font>
      <name val="Calibri"/>
      <b val="1"/>
      <color rgb="00000000"/>
      <sz val="14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0" fontId="3" fillId="3" borderId="1" applyAlignment="1" pivotButton="0" quotePrefix="0" xfId="0">
      <alignment horizontal="center"/>
    </xf>
    <xf numFmtId="0" fontId="4" fillId="0" borderId="1" pivotButton="0" quotePrefix="0" xfId="0"/>
    <xf numFmtId="165" fontId="5" fillId="0" borderId="1" applyAlignment="1" pivotButton="0" quotePrefix="0" xfId="0">
      <alignment horizontal="right"/>
    </xf>
    <xf numFmtId="0" fontId="6" fillId="4" borderId="1" pivotButton="0" quotePrefix="0" xfId="0"/>
    <xf numFmtId="165" fontId="6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2">
      <c r="B2" s="1" t="inlineStr">
        <is>
          <t>EBITDA &amp; ENTERPRISE VALUE CALCULATOR</t>
        </is>
      </c>
    </row>
    <row r="4">
      <c r="B4" s="2" t="inlineStr">
        <is>
          <t>INPUTS</t>
        </is>
      </c>
      <c r="C4" s="3" t="n"/>
    </row>
    <row r="5">
      <c r="B5" s="4" t="inlineStr">
        <is>
          <t>Number of Sites</t>
        </is>
      </c>
      <c r="C5" s="5" t="n">
        <v>1</v>
      </c>
    </row>
    <row r="6">
      <c r="B6" s="4" t="inlineStr">
        <is>
          <t>Annual Rent per Site</t>
        </is>
      </c>
      <c r="C6" s="6" t="n">
        <v>25000</v>
      </c>
    </row>
    <row r="7">
      <c r="B7" s="4" t="inlineStr">
        <is>
          <t>Operating Margin (%)</t>
        </is>
      </c>
      <c r="C7" s="7" t="n">
        <v>0.8</v>
      </c>
    </row>
    <row r="8">
      <c r="B8" s="4" t="inlineStr">
        <is>
          <t>Acceleration Days</t>
        </is>
      </c>
      <c r="C8" s="5" t="n">
        <v>90</v>
      </c>
    </row>
    <row r="9">
      <c r="B9" s="4" t="inlineStr">
        <is>
          <t>EBITDA Multiple</t>
        </is>
      </c>
      <c r="C9" s="5" t="n">
        <v>15</v>
      </c>
    </row>
    <row r="10">
      <c r="B10" s="4" t="inlineStr">
        <is>
          <t>Operational Savings (Annual per Site)</t>
        </is>
      </c>
      <c r="C10" s="6" t="n">
        <v>800</v>
      </c>
    </row>
    <row r="11">
      <c r="B11" s="4" t="inlineStr">
        <is>
          <t>FTR Improvement (Annual per Site)</t>
        </is>
      </c>
      <c r="C11" s="6" t="n">
        <v>1600</v>
      </c>
    </row>
    <row r="14">
      <c r="B14" s="2" t="inlineStr">
        <is>
          <t>EBITDA CALCULATIONS</t>
        </is>
      </c>
      <c r="C14" s="3" t="n"/>
    </row>
    <row r="15">
      <c r="B15" s="8" t="inlineStr">
        <is>
          <t>EBITDA from Revenue Acceleration</t>
        </is>
      </c>
      <c r="C15" s="9">
        <f> (C6 / 365) * C8 * C7 * C5</f>
        <v/>
      </c>
    </row>
    <row r="16">
      <c r="B16" s="8" t="inlineStr">
        <is>
          <t>EBITDA from Operational Savings</t>
        </is>
      </c>
      <c r="C16" s="9">
        <f> C10 * C5</f>
        <v/>
      </c>
    </row>
    <row r="17">
      <c r="B17" s="8" t="inlineStr">
        <is>
          <t>EBITDA from FTR Improvement</t>
        </is>
      </c>
      <c r="C17" s="9">
        <f> C11 * C5</f>
        <v/>
      </c>
    </row>
    <row r="18">
      <c r="B18" s="10" t="inlineStr">
        <is>
          <t>Total Annual EBITDA</t>
        </is>
      </c>
      <c r="C18" s="11">
        <f> SUM(C15:C17)</f>
        <v/>
      </c>
    </row>
    <row r="20">
      <c r="B20" s="2" t="inlineStr">
        <is>
          <t>ENTERPRISE VALUE</t>
        </is>
      </c>
      <c r="C20" s="3" t="n"/>
    </row>
    <row r="21">
      <c r="B21" s="10" t="inlineStr">
        <is>
          <t>Enterprise Value Uplift</t>
        </is>
      </c>
      <c r="C21" s="11">
        <f> C18 * C9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2026-02-18T03:55:16Z</dcterms:created>
  <dcterms:modified xmlns:dcterms="http://purl.org/dc/terms/" xmlns:xsi="http://www.w3.org/2001/XMLSchema-instance" xsi:type="dcterms:W3CDTF">2026-02-18T03:55:16Z</dcterms:modified>
</cp:coreProperties>
</file>